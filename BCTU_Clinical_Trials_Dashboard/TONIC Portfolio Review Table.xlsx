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BCTU\BCTU\Teams\Coloproctology\CURRENT TRIALS\TONIC\"/>
    </mc:Choice>
  </mc:AlternateContent>
  <xr:revisionPtr revIDLastSave="0" documentId="13_ncr:1_{A583747B-756D-469A-B320-9C8DC6F3119B}" xr6:coauthVersionLast="47" xr6:coauthVersionMax="47" xr10:uidLastSave="{00000000-0000-0000-0000-000000000000}"/>
  <bookViews>
    <workbookView xWindow="57480" yWindow="-1725" windowWidth="29040" windowHeight="15720" xr2:uid="{00000000-000D-0000-FFFF-FFFF00000000}"/>
  </bookViews>
  <sheets>
    <sheet name="Sheet1" sheetId="1" r:id="rId1"/>
  </sheets>
  <definedNames>
    <definedName name="Month">OFFSET(Sheet1!$A$2,0,0,COUNTA(Sheet1!$A:$A)-1)</definedName>
    <definedName name="Pts_act_monthly">OFFSET(Sheet1!$C$2,0,0,COUNTA(Sheet1!$A:$A)-1)</definedName>
    <definedName name="Pts_act_total">OFFSET(Sheet1!$E$2,0,0,COUNTA(Sheet1!$A:$A)-1)</definedName>
    <definedName name="Pts_proj_monthly">OFFSET(Sheet1!$B$2,0,0,COUNTA(Sheet1!$A:$A)-1)</definedName>
    <definedName name="Pts_proj_total">OFFSET(Sheet1!$D$2,0,0,COUNTA(Sheet1!$A:$A)-1)</definedName>
    <definedName name="Pts_rev_proj_monthly">OFFSET(Sheet1!#REF!,0,0,COUNTA(Sheet1!$A:$A)-1)</definedName>
    <definedName name="Pts_rev_proj_total">OFFSET(Sheet1!#REF!,0,0,COUNTA(Sheet1!$A:$A)-1)</definedName>
    <definedName name="Sites_act_total">OFFSET(Sheet1!$G$2,0,0,COUNTA(Sheet1!$A:$A)-1)</definedName>
    <definedName name="Sites_proj_total">OFFSET(Sheet1!$F$2,0,0,COUNTA(Sheet1!$A:$A)-1)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Valente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Marie Valente:</t>
        </r>
        <r>
          <rPr>
            <sz val="9"/>
            <color indexed="81"/>
            <rFont val="Tahoma"/>
            <charset val="1"/>
          </rPr>
          <t xml:space="preserve">
This column will auto update from the 'Pts - original projection, monthly' column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Marie Valente:</t>
        </r>
        <r>
          <rPr>
            <sz val="9"/>
            <color indexed="81"/>
            <rFont val="Tahoma"/>
            <charset val="1"/>
          </rPr>
          <t xml:space="preserve">
This column will auto update from the 'Pts - actual, monthly' column</t>
        </r>
      </text>
    </comment>
  </commentList>
</comments>
</file>

<file path=xl/sharedStrings.xml><?xml version="1.0" encoding="utf-8"?>
<sst xmlns="http://schemas.openxmlformats.org/spreadsheetml/2006/main" count="7" uniqueCount="7">
  <si>
    <t>Month</t>
  </si>
  <si>
    <t>Sites - projected, cumulative</t>
  </si>
  <si>
    <t>Sites - actual, cumulative</t>
  </si>
  <si>
    <t>Pts - original projection, monthly</t>
  </si>
  <si>
    <t>Pts - actual, monthly</t>
  </si>
  <si>
    <t>Pts - original projection, cumulative</t>
  </si>
  <si>
    <t>Pts - actual, 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</si>
</sst>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17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Pts - original projection, monthly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</c:numCache>
            </c:num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25</c:v>
                </c:pt>
                <c:pt idx="2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1-44EF-92D2-B1226153AC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Pts - actual, 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</c:numCache>
            </c:num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1-44EF-92D2-B1226153AC6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Pts - original projection, cumulative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</c:numCache>
            </c:numRef>
          </c:cat>
          <c:val>
            <c:numRef>
              <c:f>Sheet1!$D$2:$D$28</c:f>
              <c:numCache>
                <c:formatCode>0</c:formatCode>
                <c:ptCount val="27"/>
                <c:pt idx="0">
                  <c:v>4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76</c:v>
                </c:pt>
                <c:pt idx="7">
                  <c:v>96</c:v>
                </c:pt>
                <c:pt idx="8">
                  <c:v>120</c:v>
                </c:pt>
                <c:pt idx="9">
                  <c:v>148</c:v>
                </c:pt>
                <c:pt idx="10">
                  <c:v>180</c:v>
                </c:pt>
                <c:pt idx="11">
                  <c:v>216</c:v>
                </c:pt>
                <c:pt idx="12">
                  <c:v>256</c:v>
                </c:pt>
                <c:pt idx="13">
                  <c:v>300</c:v>
                </c:pt>
                <c:pt idx="14">
                  <c:v>348</c:v>
                </c:pt>
                <c:pt idx="15">
                  <c:v>398</c:v>
                </c:pt>
                <c:pt idx="16">
                  <c:v>448</c:v>
                </c:pt>
                <c:pt idx="17">
                  <c:v>498</c:v>
                </c:pt>
                <c:pt idx="18">
                  <c:v>548</c:v>
                </c:pt>
                <c:pt idx="19">
                  <c:v>598</c:v>
                </c:pt>
                <c:pt idx="20">
                  <c:v>648</c:v>
                </c:pt>
                <c:pt idx="21">
                  <c:v>698</c:v>
                </c:pt>
                <c:pt idx="22">
                  <c:v>748</c:v>
                </c:pt>
                <c:pt idx="23">
                  <c:v>798</c:v>
                </c:pt>
                <c:pt idx="24">
                  <c:v>848</c:v>
                </c:pt>
                <c:pt idx="25">
                  <c:v>873</c:v>
                </c:pt>
                <c:pt idx="26">
                  <c:v>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1-44EF-92D2-B1226153AC6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Pts - actual, cumulative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</c:numCache>
            </c:numRef>
          </c:cat>
          <c:val>
            <c:numRef>
              <c:f>Sheet1!$E$2:$E$28</c:f>
              <c:numCache>
                <c:formatCode>General</c:formatCode>
                <c:ptCount val="27"/>
                <c:pt idx="0">
                  <c:v>8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41-44EF-92D2-B1226153AC6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Sites - projected, cumulative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</c:numCache>
            </c:numRef>
          </c:cat>
          <c:val>
            <c:numRef>
              <c:f>Sheet1!$F$2:$F$28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16</c:v>
                </c:pt>
                <c:pt idx="11">
                  <c:v>18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41-44EF-92D2-B1226153AC64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Sites - actual, cumulative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</c:numCache>
            </c:numRef>
          </c:cat>
          <c:val>
            <c:numRef>
              <c:f>Sheet1!$G$2:$G$28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41-44EF-92D2-B1226153A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20175"/>
        <c:axId val="48930255"/>
      </c:lineChart>
      <c:dateAx>
        <c:axId val="489201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0255"/>
        <c:crosses val="autoZero"/>
        <c:auto val="1"/>
        <c:lblOffset val="100"/>
        <c:baseTimeUnit val="months"/>
      </c:dateAx>
      <c:valAx>
        <c:axId val="489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509866</xdr:colOff>
      <xdr:row>1</xdr:row>
      <xdr:rowOff>130660</xdr:rowOff>
    </xdr:from>
    <xdr:to>
      <xdr:col>21</xdr:col>
      <xdr:colOff>203611</xdr:colOff>
      <xdr:row>27</xdr:row>
      <xdr:rowOff>93457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A18DD-495D-3E30-DEB8-D249683A0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85" zoomScaleNormal="85" workbookViewId="0">
      <selection activeCell="H37" sqref="H37"/>
    </sheetView>
  </sheetViews>
  <sheetFormatPr defaultColWidth="9.109375" defaultRowHeight="14.4" x14ac:dyDescent="0.3"/>
  <cols>
    <col min="1" max="1" width="9.109375" style="3"/>
    <col min="2" max="2" width="18.6640625" style="3" customWidth="1"/>
    <col min="3" max="3" width="16" style="3" customWidth="1"/>
    <col min="4" max="4" width="22.33203125" style="3" customWidth="1"/>
    <col min="5" max="5" width="18.33203125" style="3" customWidth="1"/>
    <col min="6" max="6" width="16.109375" style="3" customWidth="1"/>
    <col min="7" max="7" width="15.33203125" style="3" customWidth="1"/>
    <col min="8" max="16384" width="9.109375" style="3"/>
  </cols>
  <sheetData>
    <row r="1" spans="1:7" s="1" customFormat="1" ht="34.5" customHeight="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</row>
    <row r="2" spans="1:7" x14ac:dyDescent="0.3">
      <c r="A2" s="2">
        <v>45748</v>
      </c>
      <c r="B2" s="3">
        <v>4</v>
      </c>
      <c r="C2" s="3">
        <v>8</v>
      </c>
      <c r="D2" s="4">
        <f>IF(B2&lt;&gt;"", B2, #N/A)</f>
        <v>4</v>
      </c>
      <c r="E2" s="3">
        <v>8</v>
      </c>
      <c r="F2" s="3">
        <v>2</v>
      </c>
      <c r="G2" s="3">
        <v>2</v>
      </c>
    </row>
    <row r="3" spans="1:7" x14ac:dyDescent="0.3">
      <c r="A3" s="2">
        <v>45778</v>
      </c>
      <c r="B3" s="3">
        <v>8</v>
      </c>
      <c r="C3" s="3">
        <v>0</v>
      </c>
      <c r="D3" s="4">
        <f>IF(B3&lt;&gt;"",(B3+D2), #N/A)</f>
        <v>12</v>
      </c>
      <c r="E3" s="3">
        <v>8</v>
      </c>
      <c r="F3" s="3">
        <v>4</v>
      </c>
      <c r="G3" s="3">
        <v>2</v>
      </c>
    </row>
    <row r="4" spans="1:7" x14ac:dyDescent="0.3">
      <c r="A4" s="2">
        <v>45809</v>
      </c>
      <c r="B4" s="3">
        <v>12</v>
      </c>
      <c r="D4" s="4">
        <f>IF(B4&lt;&gt;"",(B4+D3), #N/A)</f>
        <v>24</v>
      </c>
      <c r="F4" s="3">
        <v>6</v>
      </c>
    </row>
    <row r="5" spans="1:7" x14ac:dyDescent="0.3">
      <c r="A5" s="2">
        <v>45839</v>
      </c>
      <c r="B5" s="3">
        <v>12</v>
      </c>
      <c r="D5" s="4">
        <f>IF(B5&lt;&gt;"",(B5+D4), #N/A)</f>
        <v>36</v>
      </c>
      <c r="F5" s="3">
        <v>6</v>
      </c>
    </row>
    <row r="6" spans="1:7" x14ac:dyDescent="0.3">
      <c r="A6" s="2">
        <v>45870</v>
      </c>
      <c r="B6" s="3">
        <v>12</v>
      </c>
      <c r="D6" s="4">
        <f>IF(B6&lt;&gt;"",(B6+D5), #N/A)</f>
        <v>48</v>
      </c>
      <c r="F6" s="3">
        <v>6</v>
      </c>
    </row>
    <row r="7" spans="1:7" x14ac:dyDescent="0.3">
      <c r="A7" s="2">
        <v>45901</v>
      </c>
      <c r="B7" s="3">
        <v>12</v>
      </c>
      <c r="D7" s="4">
        <f>IF(B7&lt;&gt;"",(B7+D6), #N/A)</f>
        <v>60</v>
      </c>
      <c r="F7" s="3">
        <v>6</v>
      </c>
    </row>
    <row r="8" spans="1:7" x14ac:dyDescent="0.3">
      <c r="A8" s="2">
        <v>45931</v>
      </c>
      <c r="B8" s="3">
        <v>16</v>
      </c>
      <c r="D8" s="4">
        <f>IF(B8&lt;&gt;"",(B8+D7), #N/A)</f>
        <v>76</v>
      </c>
      <c r="F8" s="3">
        <v>8</v>
      </c>
    </row>
    <row r="9" spans="1:7" x14ac:dyDescent="0.3">
      <c r="A9" s="2">
        <v>45962</v>
      </c>
      <c r="B9" s="3">
        <v>20</v>
      </c>
      <c r="D9" s="4">
        <f>IF(B9&lt;&gt;"",(B9+D8), #N/A)</f>
        <v>96</v>
      </c>
      <c r="F9" s="3">
        <v>10</v>
      </c>
    </row>
    <row r="10" spans="1:7" x14ac:dyDescent="0.3">
      <c r="A10" s="2">
        <v>45992</v>
      </c>
      <c r="B10" s="3">
        <v>24</v>
      </c>
      <c r="D10" s="4">
        <f>IF(B10&lt;&gt;"",(B10+D9), #N/A)</f>
        <v>120</v>
      </c>
      <c r="F10" s="3">
        <v>12</v>
      </c>
    </row>
    <row r="11" spans="1:7" x14ac:dyDescent="0.3">
      <c r="A11" s="2">
        <v>46023</v>
      </c>
      <c r="B11" s="3">
        <v>28</v>
      </c>
      <c r="D11" s="4">
        <f>IF(B11&lt;&gt;"",(B11+D10), #N/A)</f>
        <v>148</v>
      </c>
      <c r="F11" s="3">
        <v>14</v>
      </c>
    </row>
    <row r="12" spans="1:7" x14ac:dyDescent="0.3">
      <c r="A12" s="2">
        <v>46054</v>
      </c>
      <c r="B12" s="3">
        <v>32</v>
      </c>
      <c r="D12" s="4">
        <f>IF(B12&lt;&gt;"",(B12+D11), #N/A)</f>
        <v>180</v>
      </c>
      <c r="F12" s="3">
        <v>16</v>
      </c>
    </row>
    <row r="13" spans="1:7" x14ac:dyDescent="0.3">
      <c r="A13" s="2">
        <v>46082</v>
      </c>
      <c r="B13" s="3">
        <v>36</v>
      </c>
      <c r="D13" s="4">
        <f>IF(B13&lt;&gt;"",(B13+D12), #N/A)</f>
        <v>216</v>
      </c>
      <c r="F13" s="3">
        <v>18</v>
      </c>
    </row>
    <row r="14" spans="1:7" x14ac:dyDescent="0.3">
      <c r="A14" s="2">
        <v>46113</v>
      </c>
      <c r="B14" s="3">
        <v>40</v>
      </c>
      <c r="D14" s="4">
        <f>IF(B14&lt;&gt;"",(B14+D13), #N/A)</f>
        <v>256</v>
      </c>
      <c r="F14" s="3">
        <v>20</v>
      </c>
    </row>
    <row r="15" spans="1:7" x14ac:dyDescent="0.3">
      <c r="A15" s="2">
        <v>46143</v>
      </c>
      <c r="B15" s="3">
        <v>44</v>
      </c>
      <c r="D15" s="4">
        <f>IF(B15&lt;&gt;"",(B15+D14), #N/A)</f>
        <v>300</v>
      </c>
      <c r="F15" s="3">
        <v>22</v>
      </c>
    </row>
    <row r="16" spans="1:7" x14ac:dyDescent="0.3">
      <c r="A16" s="2">
        <v>46174</v>
      </c>
      <c r="B16" s="3">
        <v>48</v>
      </c>
      <c r="D16" s="4">
        <f>IF(B16&lt;&gt;"",(B16+D15), #N/A)</f>
        <v>348</v>
      </c>
      <c r="F16" s="3">
        <v>24</v>
      </c>
    </row>
    <row r="17" spans="1:6" x14ac:dyDescent="0.3">
      <c r="A17" s="2">
        <v>46204</v>
      </c>
      <c r="B17" s="3">
        <v>50</v>
      </c>
      <c r="D17" s="4">
        <f>IF(B17&lt;&gt;"",(B17+D16), #N/A)</f>
        <v>398</v>
      </c>
      <c r="F17" s="3">
        <v>25</v>
      </c>
    </row>
    <row r="18" spans="1:6" x14ac:dyDescent="0.3">
      <c r="A18" s="2">
        <v>46235</v>
      </c>
      <c r="B18" s="3">
        <v>50</v>
      </c>
      <c r="D18" s="4">
        <f>IF(B18&lt;&gt;"",(B18+D17), #N/A)</f>
        <v>448</v>
      </c>
      <c r="F18" s="3">
        <v>25</v>
      </c>
    </row>
    <row r="19" spans="1:6" x14ac:dyDescent="0.3">
      <c r="A19" s="2">
        <v>46266</v>
      </c>
      <c r="B19" s="3">
        <v>50</v>
      </c>
      <c r="D19" s="4">
        <f>IF(B19&lt;&gt;"",(B19+D18), #N/A)</f>
        <v>498</v>
      </c>
      <c r="F19" s="3">
        <v>25</v>
      </c>
    </row>
    <row r="20" spans="1:6" x14ac:dyDescent="0.3">
      <c r="A20" s="2">
        <v>46296</v>
      </c>
      <c r="B20" s="3">
        <v>50</v>
      </c>
      <c r="D20" s="4">
        <f>IF(B20&lt;&gt;"",(B20+D19), #N/A)</f>
        <v>548</v>
      </c>
      <c r="F20" s="3">
        <v>25</v>
      </c>
    </row>
    <row r="21" spans="1:6" x14ac:dyDescent="0.3">
      <c r="A21" s="2">
        <v>46327</v>
      </c>
      <c r="B21" s="3">
        <v>50</v>
      </c>
      <c r="D21" s="4">
        <f>IF(B21&lt;&gt;"",(B21+D20), #N/A)</f>
        <v>598</v>
      </c>
      <c r="F21" s="3">
        <v>25</v>
      </c>
    </row>
    <row r="22" spans="1:6" x14ac:dyDescent="0.3">
      <c r="A22" s="2">
        <v>46357</v>
      </c>
      <c r="B22" s="3">
        <v>50</v>
      </c>
      <c r="D22" s="4">
        <f>IF(B22&lt;&gt;"",(B22+D21), #N/A)</f>
        <v>648</v>
      </c>
      <c r="F22" s="3">
        <v>25</v>
      </c>
    </row>
    <row r="23" spans="1:6" x14ac:dyDescent="0.3">
      <c r="A23" s="2">
        <v>46388</v>
      </c>
      <c r="B23" s="3">
        <v>50</v>
      </c>
      <c r="D23" s="4">
        <f>IF(B23&lt;&gt;"",(B23+D22), #N/A)</f>
        <v>698</v>
      </c>
      <c r="F23" s="3">
        <v>25</v>
      </c>
    </row>
    <row r="24" spans="1:6" x14ac:dyDescent="0.3">
      <c r="A24" s="2">
        <v>46419</v>
      </c>
      <c r="B24" s="3">
        <v>50</v>
      </c>
      <c r="D24" s="4">
        <f>IF(B24&lt;&gt;"",(B24+D23), #N/A)</f>
        <v>748</v>
      </c>
      <c r="F24" s="3">
        <v>25</v>
      </c>
    </row>
    <row r="25" spans="1:6" x14ac:dyDescent="0.3">
      <c r="A25" s="2">
        <v>46447</v>
      </c>
      <c r="B25" s="3">
        <v>50</v>
      </c>
      <c r="D25" s="4">
        <f>IF(B25&lt;&gt;"",(B25+D24), #N/A)</f>
        <v>798</v>
      </c>
      <c r="F25" s="3">
        <v>25</v>
      </c>
    </row>
    <row r="26" spans="1:6" x14ac:dyDescent="0.3">
      <c r="A26" s="2">
        <v>46478</v>
      </c>
      <c r="B26" s="3">
        <v>50</v>
      </c>
      <c r="D26" s="4">
        <f>IF(B26&lt;&gt;"",(B26+D25), #N/A)</f>
        <v>848</v>
      </c>
      <c r="F26" s="3">
        <v>25</v>
      </c>
    </row>
    <row r="27" spans="1:6" x14ac:dyDescent="0.3">
      <c r="A27" s="2">
        <v>46508</v>
      </c>
      <c r="B27" s="3">
        <v>25</v>
      </c>
      <c r="D27" s="4">
        <f>IF(B27&lt;&gt;"",(B27+D26), #N/A)</f>
        <v>873</v>
      </c>
      <c r="F27" s="3">
        <v>25</v>
      </c>
    </row>
    <row r="28" spans="1:6" x14ac:dyDescent="0.3">
      <c r="A28" s="2">
        <v>46539</v>
      </c>
      <c r="B28" s="3">
        <v>25</v>
      </c>
      <c r="D28" s="4">
        <f>IF(B28&lt;&gt;"",(B28+D27), #N/A)</f>
        <v>898</v>
      </c>
      <c r="F28" s="3">
        <v>25</v>
      </c>
    </row>
    <row r="29" spans="1:6" x14ac:dyDescent="0.3">
      <c r="A29" s="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Birmingham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Valente</dc:creator>
  <cp:lastModifiedBy>Georgia Mitchell (Birmingham Clinical Trials Unit)</cp:lastModifiedBy>
  <dcterms:created xsi:type="dcterms:W3CDTF">2017-06-12T12:51:16Z</dcterms:created>
  <dcterms:modified xsi:type="dcterms:W3CDTF">2026-05-07T14:35:59Z</dcterms:modified>
</cp:coreProperties>
</file>